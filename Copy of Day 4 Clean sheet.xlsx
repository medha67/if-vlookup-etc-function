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<sst xmlns="http://schemas.openxmlformats.org/spreadsheetml/2006/main" count="142" uniqueCount="67">
  <si>
    <t>Student_ID</t>
  </si>
  <si>
    <t>Name</t>
  </si>
  <si>
    <t>Class</t>
  </si>
  <si>
    <t>Maths</t>
  </si>
  <si>
    <t>Science</t>
  </si>
  <si>
    <t>English</t>
  </si>
  <si>
    <t>Social_Science</t>
  </si>
  <si>
    <t>Malayalam</t>
  </si>
  <si>
    <t>Total</t>
  </si>
  <si>
    <t>Average</t>
  </si>
  <si>
    <t>Grade</t>
  </si>
  <si>
    <t>Status</t>
  </si>
  <si>
    <t>Performance</t>
  </si>
  <si>
    <t>Result</t>
  </si>
  <si>
    <t>S001</t>
  </si>
  <si>
    <t>Arun Kumar</t>
  </si>
  <si>
    <t>10A</t>
  </si>
  <si>
    <t>B</t>
  </si>
  <si>
    <t>Pass</t>
  </si>
  <si>
    <t>S002</t>
  </si>
  <si>
    <t>Priya Nair</t>
  </si>
  <si>
    <t>10C</t>
  </si>
  <si>
    <t>S003</t>
  </si>
  <si>
    <t>Rahul Menon</t>
  </si>
  <si>
    <t>S004</t>
  </si>
  <si>
    <t>Anjali Das</t>
  </si>
  <si>
    <t>S005</t>
  </si>
  <si>
    <t>Vishnu Raj</t>
  </si>
  <si>
    <t>A</t>
  </si>
  <si>
    <t>S006</t>
  </si>
  <si>
    <t>Sneha Thomas</t>
  </si>
  <si>
    <t>S007</t>
  </si>
  <si>
    <t>Arjun Pillai</t>
  </si>
  <si>
    <t>10B</t>
  </si>
  <si>
    <t>S008</t>
  </si>
  <si>
    <t>Meera Krishnan</t>
  </si>
  <si>
    <t>S009</t>
  </si>
  <si>
    <t>Kiran Bose</t>
  </si>
  <si>
    <t>S010</t>
  </si>
  <si>
    <t>Lakshmi Nair</t>
  </si>
  <si>
    <t>B+</t>
  </si>
  <si>
    <t>S011</t>
  </si>
  <si>
    <t>Deepak Shetty</t>
  </si>
  <si>
    <t>S012</t>
  </si>
  <si>
    <t>Ananya Iyer</t>
  </si>
  <si>
    <t>S013</t>
  </si>
  <si>
    <t>Rohan Varma</t>
  </si>
  <si>
    <t>S014</t>
  </si>
  <si>
    <t>Nithya Suresh</t>
  </si>
  <si>
    <t>S015</t>
  </si>
  <si>
    <t>Akash Pillai</t>
  </si>
  <si>
    <t>S016</t>
  </si>
  <si>
    <t>Divya Menon</t>
  </si>
  <si>
    <t>S017</t>
  </si>
  <si>
    <t>Sanjay Kumar</t>
  </si>
  <si>
    <t>S018</t>
  </si>
  <si>
    <t>Pooja Nair</t>
  </si>
  <si>
    <t>S019</t>
  </si>
  <si>
    <t>Amit Das</t>
  </si>
  <si>
    <t>S020</t>
  </si>
  <si>
    <t>Kavya Raj</t>
  </si>
  <si>
    <t>SUMMARY:</t>
  </si>
  <si>
    <t>CRITERIA</t>
  </si>
  <si>
    <t>COUNT</t>
  </si>
  <si>
    <t>&gt;70 in maths</t>
  </si>
  <si>
    <t>At Risk</t>
  </si>
  <si>
    <t>LOOKUP 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</si>
</sst>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b/>
      <sz val="13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4" fontId="2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readingOrder="0"/>
    </xf>
    <xf borderId="1" fillId="2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3" fontId="1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>
      <c r="A2" s="3" t="s">
        <v>14</v>
      </c>
      <c r="B2" s="3" t="s">
        <v>15</v>
      </c>
      <c r="C2" s="4" t="s">
        <v>16</v>
      </c>
      <c r="D2" s="5">
        <v>85.0</v>
      </c>
      <c r="E2" s="5">
        <v>52.0</v>
      </c>
      <c r="F2" s="5">
        <v>46.0</v>
      </c>
      <c r="G2" s="5">
        <v>92.0</v>
      </c>
      <c r="H2" s="5">
        <v>62.0</v>
      </c>
      <c r="I2" s="5">
        <v>337.0</v>
      </c>
      <c r="J2" s="5">
        <v>67.4</v>
      </c>
      <c r="K2" s="3" t="s">
        <v>17</v>
      </c>
      <c r="L2" s="4" t="str">
        <f t="shared" ref="L2:L21" si="1">IF(J2&gt;=50,"PASS","FAIL")</f>
        <v>PASS</v>
      </c>
      <c r="M2" s="3" t="str">
        <f t="shared" ref="M2:M21" si="2">if(J2&gt;=75,"Distinction",IF( J2&gt;=50,"Pass","At Risk"))</f>
        <v>Pass</v>
      </c>
      <c r="N2" s="3" t="s">
        <v>18</v>
      </c>
    </row>
    <row r="3">
      <c r="A3" s="3" t="s">
        <v>19</v>
      </c>
      <c r="B3" s="3" t="s">
        <v>20</v>
      </c>
      <c r="C3" s="3" t="s">
        <v>21</v>
      </c>
      <c r="D3" s="5">
        <v>59.0</v>
      </c>
      <c r="E3" s="5">
        <v>53.0</v>
      </c>
      <c r="F3" s="5">
        <v>92.0</v>
      </c>
      <c r="G3" s="5">
        <v>51.0</v>
      </c>
      <c r="H3" s="5">
        <v>88.0</v>
      </c>
      <c r="I3" s="5">
        <v>343.0</v>
      </c>
      <c r="J3" s="5">
        <v>68.6</v>
      </c>
      <c r="K3" s="4" t="s">
        <v>17</v>
      </c>
      <c r="L3" s="4" t="str">
        <f t="shared" si="1"/>
        <v>PASS</v>
      </c>
      <c r="M3" s="3" t="str">
        <f t="shared" si="2"/>
        <v>Pass</v>
      </c>
      <c r="N3" s="3" t="s">
        <v>18</v>
      </c>
    </row>
    <row r="4">
      <c r="A4" s="3" t="s">
        <v>22</v>
      </c>
      <c r="B4" s="3" t="s">
        <v>23</v>
      </c>
      <c r="C4" s="3" t="s">
        <v>16</v>
      </c>
      <c r="D4" s="5">
        <v>79.0</v>
      </c>
      <c r="E4" s="5">
        <v>50.0</v>
      </c>
      <c r="F4" s="5">
        <v>82.0</v>
      </c>
      <c r="G4" s="5">
        <v>72.0</v>
      </c>
      <c r="H4" s="5">
        <v>47.0</v>
      </c>
      <c r="I4" s="5">
        <v>330.0</v>
      </c>
      <c r="J4" s="5">
        <v>66.0</v>
      </c>
      <c r="K4" s="3" t="s">
        <v>17</v>
      </c>
      <c r="L4" s="4" t="str">
        <f t="shared" si="1"/>
        <v>PASS</v>
      </c>
      <c r="M4" s="3" t="str">
        <f t="shared" si="2"/>
        <v>Pass</v>
      </c>
      <c r="N4" s="3" t="s">
        <v>18</v>
      </c>
    </row>
    <row r="5">
      <c r="A5" s="3" t="s">
        <v>24</v>
      </c>
      <c r="B5" s="3" t="s">
        <v>25</v>
      </c>
      <c r="C5" s="3" t="s">
        <v>16</v>
      </c>
      <c r="D5" s="5">
        <v>50.0</v>
      </c>
      <c r="E5" s="5">
        <v>58.0</v>
      </c>
      <c r="F5" s="5">
        <v>59.0</v>
      </c>
      <c r="G5" s="5">
        <v>77.0</v>
      </c>
      <c r="H5" s="5">
        <v>83.0</v>
      </c>
      <c r="I5" s="5">
        <v>327.0</v>
      </c>
      <c r="J5" s="5">
        <v>65.4</v>
      </c>
      <c r="K5" s="3" t="s">
        <v>17</v>
      </c>
      <c r="L5" s="4" t="str">
        <f t="shared" si="1"/>
        <v>PASS</v>
      </c>
      <c r="M5" s="3" t="str">
        <f t="shared" si="2"/>
        <v>Pass</v>
      </c>
      <c r="N5" s="3" t="s">
        <v>18</v>
      </c>
    </row>
    <row r="6">
      <c r="A6" s="3" t="s">
        <v>26</v>
      </c>
      <c r="B6" s="3" t="s">
        <v>27</v>
      </c>
      <c r="C6" s="3" t="s">
        <v>21</v>
      </c>
      <c r="D6" s="5">
        <v>80.0</v>
      </c>
      <c r="E6" s="5">
        <v>57.0</v>
      </c>
      <c r="F6" s="5">
        <v>90.0</v>
      </c>
      <c r="G6" s="5">
        <v>86.0</v>
      </c>
      <c r="H6" s="5">
        <v>89.0</v>
      </c>
      <c r="I6" s="5">
        <v>402.0</v>
      </c>
      <c r="J6" s="5">
        <v>80.4</v>
      </c>
      <c r="K6" s="3" t="s">
        <v>28</v>
      </c>
      <c r="L6" s="4" t="str">
        <f t="shared" si="1"/>
        <v>PASS</v>
      </c>
      <c r="M6" s="3" t="str">
        <f t="shared" si="2"/>
        <v>Distinction</v>
      </c>
      <c r="N6" s="3" t="s">
        <v>18</v>
      </c>
    </row>
    <row r="7">
      <c r="A7" s="3" t="s">
        <v>29</v>
      </c>
      <c r="B7" s="3" t="s">
        <v>30</v>
      </c>
      <c r="C7" s="3" t="s">
        <v>16</v>
      </c>
      <c r="D7" s="5">
        <v>71.0</v>
      </c>
      <c r="E7" s="5">
        <v>59.0</v>
      </c>
      <c r="F7" s="5">
        <v>73.0</v>
      </c>
      <c r="G7" s="5">
        <v>82.0</v>
      </c>
      <c r="H7" s="5">
        <v>62.0</v>
      </c>
      <c r="I7" s="5">
        <v>347.0</v>
      </c>
      <c r="J7" s="5">
        <v>69.4</v>
      </c>
      <c r="K7" s="3" t="s">
        <v>17</v>
      </c>
      <c r="L7" s="4" t="str">
        <f t="shared" si="1"/>
        <v>PASS</v>
      </c>
      <c r="M7" s="3" t="str">
        <f t="shared" si="2"/>
        <v>Pass</v>
      </c>
      <c r="N7" s="3" t="s">
        <v>18</v>
      </c>
    </row>
    <row r="8">
      <c r="A8" s="3" t="s">
        <v>31</v>
      </c>
      <c r="B8" s="3" t="s">
        <v>32</v>
      </c>
      <c r="C8" s="3" t="s">
        <v>33</v>
      </c>
      <c r="D8" s="5">
        <v>93.0</v>
      </c>
      <c r="E8" s="5">
        <v>96.0</v>
      </c>
      <c r="F8" s="5">
        <v>55.0</v>
      </c>
      <c r="G8" s="5">
        <v>89.0</v>
      </c>
      <c r="H8" s="5">
        <v>72.0</v>
      </c>
      <c r="I8" s="5">
        <v>405.0</v>
      </c>
      <c r="J8" s="5">
        <v>81.0</v>
      </c>
      <c r="K8" s="3" t="s">
        <v>28</v>
      </c>
      <c r="L8" s="4" t="str">
        <f t="shared" si="1"/>
        <v>PASS</v>
      </c>
      <c r="M8" s="3" t="str">
        <f t="shared" si="2"/>
        <v>Distinction</v>
      </c>
      <c r="N8" s="3" t="s">
        <v>18</v>
      </c>
    </row>
    <row r="9">
      <c r="A9" s="3" t="s">
        <v>34</v>
      </c>
      <c r="B9" s="3" t="s">
        <v>35</v>
      </c>
      <c r="C9" s="3" t="s">
        <v>16</v>
      </c>
      <c r="D9" s="5">
        <v>62.0</v>
      </c>
      <c r="E9" s="5">
        <v>54.0</v>
      </c>
      <c r="F9" s="5">
        <v>58.0</v>
      </c>
      <c r="G9" s="5">
        <v>93.0</v>
      </c>
      <c r="H9" s="5">
        <v>66.0</v>
      </c>
      <c r="I9" s="5">
        <v>333.0</v>
      </c>
      <c r="J9" s="5">
        <v>66.6</v>
      </c>
      <c r="K9" s="3" t="s">
        <v>17</v>
      </c>
      <c r="L9" s="4" t="str">
        <f t="shared" si="1"/>
        <v>PASS</v>
      </c>
      <c r="M9" s="3" t="str">
        <f t="shared" si="2"/>
        <v>Pass</v>
      </c>
      <c r="N9" s="3" t="s">
        <v>18</v>
      </c>
    </row>
    <row r="10">
      <c r="A10" s="3" t="s">
        <v>36</v>
      </c>
      <c r="B10" s="3" t="s">
        <v>37</v>
      </c>
      <c r="C10" s="3" t="s">
        <v>21</v>
      </c>
      <c r="D10" s="5">
        <v>50.0</v>
      </c>
      <c r="E10" s="5">
        <v>69.0</v>
      </c>
      <c r="F10" s="5">
        <v>51.0</v>
      </c>
      <c r="G10" s="5">
        <v>67.0</v>
      </c>
      <c r="H10" s="5">
        <v>67.0</v>
      </c>
      <c r="I10" s="5">
        <v>304.0</v>
      </c>
      <c r="J10" s="5">
        <v>60.8</v>
      </c>
      <c r="K10" s="3" t="s">
        <v>17</v>
      </c>
      <c r="L10" s="4" t="str">
        <f t="shared" si="1"/>
        <v>PASS</v>
      </c>
      <c r="M10" s="3" t="str">
        <f t="shared" si="2"/>
        <v>Pass</v>
      </c>
      <c r="N10" s="3" t="s">
        <v>18</v>
      </c>
    </row>
    <row r="11">
      <c r="A11" s="3" t="s">
        <v>38</v>
      </c>
      <c r="B11" s="3" t="s">
        <v>39</v>
      </c>
      <c r="C11" s="3" t="s">
        <v>21</v>
      </c>
      <c r="D11" s="5">
        <v>61.0</v>
      </c>
      <c r="E11" s="5">
        <v>96.0</v>
      </c>
      <c r="F11" s="5">
        <v>47.0</v>
      </c>
      <c r="G11" s="5">
        <v>91.0</v>
      </c>
      <c r="H11" s="5">
        <v>74.0</v>
      </c>
      <c r="I11" s="5">
        <v>369.0</v>
      </c>
      <c r="J11" s="5">
        <v>73.8</v>
      </c>
      <c r="K11" s="3" t="s">
        <v>40</v>
      </c>
      <c r="L11" s="4" t="str">
        <f t="shared" si="1"/>
        <v>PASS</v>
      </c>
      <c r="M11" s="3" t="str">
        <f t="shared" si="2"/>
        <v>Pass</v>
      </c>
      <c r="N11" s="3" t="s">
        <v>18</v>
      </c>
    </row>
    <row r="12">
      <c r="A12" s="3" t="s">
        <v>41</v>
      </c>
      <c r="B12" s="3" t="s">
        <v>42</v>
      </c>
      <c r="C12" s="3" t="s">
        <v>21</v>
      </c>
      <c r="D12" s="5">
        <v>52.0</v>
      </c>
      <c r="E12" s="5">
        <v>69.0</v>
      </c>
      <c r="F12" s="5">
        <v>50.0</v>
      </c>
      <c r="G12" s="5">
        <v>80.0</v>
      </c>
      <c r="H12" s="5">
        <v>63.0</v>
      </c>
      <c r="I12" s="5">
        <v>314.0</v>
      </c>
      <c r="J12" s="5">
        <v>62.8</v>
      </c>
      <c r="K12" s="3" t="s">
        <v>17</v>
      </c>
      <c r="L12" s="4" t="str">
        <f t="shared" si="1"/>
        <v>PASS</v>
      </c>
      <c r="M12" s="3" t="str">
        <f t="shared" si="2"/>
        <v>Pass</v>
      </c>
      <c r="N12" s="3" t="s">
        <v>18</v>
      </c>
    </row>
    <row r="13">
      <c r="A13" s="3" t="s">
        <v>43</v>
      </c>
      <c r="B13" s="3" t="s">
        <v>44</v>
      </c>
      <c r="C13" s="3" t="s">
        <v>16</v>
      </c>
      <c r="D13" s="5">
        <v>84.0</v>
      </c>
      <c r="E13" s="5">
        <v>68.0</v>
      </c>
      <c r="F13" s="5">
        <v>81.0</v>
      </c>
      <c r="G13" s="5">
        <v>57.0</v>
      </c>
      <c r="H13" s="5">
        <v>90.0</v>
      </c>
      <c r="I13" s="5">
        <v>380.0</v>
      </c>
      <c r="J13" s="5">
        <v>76.0</v>
      </c>
      <c r="K13" s="3" t="s">
        <v>40</v>
      </c>
      <c r="L13" s="4" t="str">
        <f t="shared" si="1"/>
        <v>PASS</v>
      </c>
      <c r="M13" s="3" t="str">
        <f t="shared" si="2"/>
        <v>Distinction</v>
      </c>
      <c r="N13" s="3" t="s">
        <v>18</v>
      </c>
    </row>
    <row r="14">
      <c r="A14" s="3" t="s">
        <v>45</v>
      </c>
      <c r="B14" s="3" t="s">
        <v>46</v>
      </c>
      <c r="C14" s="3" t="s">
        <v>16</v>
      </c>
      <c r="D14" s="5">
        <v>47.0</v>
      </c>
      <c r="E14" s="5">
        <v>87.0</v>
      </c>
      <c r="F14" s="5">
        <v>59.0</v>
      </c>
      <c r="G14" s="5">
        <v>94.0</v>
      </c>
      <c r="H14" s="5">
        <v>63.0</v>
      </c>
      <c r="I14" s="5">
        <v>350.0</v>
      </c>
      <c r="J14" s="6">
        <v>70.0</v>
      </c>
      <c r="K14" s="3" t="s">
        <v>40</v>
      </c>
      <c r="L14" s="4" t="str">
        <f t="shared" si="1"/>
        <v>PASS</v>
      </c>
      <c r="M14" s="3" t="str">
        <f t="shared" si="2"/>
        <v>Pass</v>
      </c>
      <c r="N14" s="3" t="s">
        <v>18</v>
      </c>
    </row>
    <row r="15">
      <c r="A15" s="3" t="s">
        <v>47</v>
      </c>
      <c r="B15" s="3" t="s">
        <v>48</v>
      </c>
      <c r="C15" s="3" t="s">
        <v>21</v>
      </c>
      <c r="D15" s="5">
        <v>59.0</v>
      </c>
      <c r="E15" s="5">
        <v>51.0</v>
      </c>
      <c r="F15" s="5">
        <v>69.0</v>
      </c>
      <c r="G15" s="5">
        <v>62.0</v>
      </c>
      <c r="H15" s="5">
        <v>74.0</v>
      </c>
      <c r="I15" s="5">
        <v>315.0</v>
      </c>
      <c r="J15" s="5">
        <v>63.0</v>
      </c>
      <c r="K15" s="3" t="s">
        <v>17</v>
      </c>
      <c r="L15" s="4" t="str">
        <f t="shared" si="1"/>
        <v>PASS</v>
      </c>
      <c r="M15" s="3" t="str">
        <f t="shared" si="2"/>
        <v>Pass</v>
      </c>
      <c r="N15" s="3" t="s">
        <v>18</v>
      </c>
    </row>
    <row r="16">
      <c r="A16" s="3" t="s">
        <v>49</v>
      </c>
      <c r="B16" s="3" t="s">
        <v>50</v>
      </c>
      <c r="C16" s="3" t="s">
        <v>16</v>
      </c>
      <c r="D16" s="5">
        <v>98.0</v>
      </c>
      <c r="E16" s="5">
        <v>68.0</v>
      </c>
      <c r="F16" s="5">
        <v>55.0</v>
      </c>
      <c r="G16" s="5">
        <v>68.0</v>
      </c>
      <c r="H16" s="5">
        <v>67.0</v>
      </c>
      <c r="I16" s="5">
        <v>356.0</v>
      </c>
      <c r="J16" s="5">
        <v>71.2</v>
      </c>
      <c r="K16" s="3" t="s">
        <v>40</v>
      </c>
      <c r="L16" s="4" t="str">
        <f t="shared" si="1"/>
        <v>PASS</v>
      </c>
      <c r="M16" s="3" t="str">
        <f t="shared" si="2"/>
        <v>Pass</v>
      </c>
      <c r="N16" s="3" t="s">
        <v>18</v>
      </c>
    </row>
    <row r="17">
      <c r="A17" s="3" t="s">
        <v>51</v>
      </c>
      <c r="B17" s="3" t="s">
        <v>52</v>
      </c>
      <c r="C17" s="3" t="s">
        <v>16</v>
      </c>
      <c r="D17" s="5">
        <v>87.0</v>
      </c>
      <c r="E17" s="5">
        <v>62.0</v>
      </c>
      <c r="F17" s="5">
        <v>89.0</v>
      </c>
      <c r="G17" s="5">
        <v>88.0</v>
      </c>
      <c r="H17" s="5">
        <v>86.0</v>
      </c>
      <c r="I17" s="5">
        <v>412.0</v>
      </c>
      <c r="J17" s="5">
        <v>82.4</v>
      </c>
      <c r="K17" s="3" t="s">
        <v>28</v>
      </c>
      <c r="L17" s="4" t="str">
        <f t="shared" si="1"/>
        <v>PASS</v>
      </c>
      <c r="M17" s="3" t="str">
        <f t="shared" si="2"/>
        <v>Distinction</v>
      </c>
      <c r="N17" s="3" t="s">
        <v>18</v>
      </c>
    </row>
    <row r="18">
      <c r="A18" s="3" t="s">
        <v>53</v>
      </c>
      <c r="B18" s="3" t="s">
        <v>54</v>
      </c>
      <c r="C18" s="3" t="s">
        <v>16</v>
      </c>
      <c r="D18" s="5">
        <v>83.0</v>
      </c>
      <c r="E18" s="5">
        <v>85.0</v>
      </c>
      <c r="F18" s="5">
        <v>55.0</v>
      </c>
      <c r="G18" s="5">
        <v>79.0</v>
      </c>
      <c r="H18" s="5">
        <v>91.0</v>
      </c>
      <c r="I18" s="5">
        <v>393.0</v>
      </c>
      <c r="J18" s="5">
        <v>78.6</v>
      </c>
      <c r="K18" s="3" t="s">
        <v>40</v>
      </c>
      <c r="L18" s="4" t="str">
        <f t="shared" si="1"/>
        <v>PASS</v>
      </c>
      <c r="M18" s="3" t="str">
        <f t="shared" si="2"/>
        <v>Distinction</v>
      </c>
      <c r="N18" s="3" t="s">
        <v>18</v>
      </c>
    </row>
    <row r="19">
      <c r="A19" s="3" t="s">
        <v>55</v>
      </c>
      <c r="B19" s="3" t="s">
        <v>56</v>
      </c>
      <c r="C19" s="3" t="s">
        <v>21</v>
      </c>
      <c r="D19" s="5">
        <v>55.0</v>
      </c>
      <c r="E19" s="5">
        <v>74.0</v>
      </c>
      <c r="F19" s="5">
        <v>69.0</v>
      </c>
      <c r="G19" s="5">
        <v>62.0</v>
      </c>
      <c r="H19" s="5">
        <v>85.0</v>
      </c>
      <c r="I19" s="5">
        <v>345.0</v>
      </c>
      <c r="J19" s="5">
        <v>69.0</v>
      </c>
      <c r="K19" s="3" t="s">
        <v>17</v>
      </c>
      <c r="L19" s="4" t="str">
        <f t="shared" si="1"/>
        <v>PASS</v>
      </c>
      <c r="M19" s="3" t="str">
        <f t="shared" si="2"/>
        <v>Pass</v>
      </c>
      <c r="N19" s="3" t="s">
        <v>18</v>
      </c>
    </row>
    <row r="20">
      <c r="A20" s="3" t="s">
        <v>57</v>
      </c>
      <c r="B20" s="3" t="s">
        <v>58</v>
      </c>
      <c r="C20" s="3" t="s">
        <v>16</v>
      </c>
      <c r="D20" s="5">
        <v>80.0</v>
      </c>
      <c r="E20" s="5">
        <v>59.0</v>
      </c>
      <c r="F20" s="5">
        <v>88.0</v>
      </c>
      <c r="G20" s="5">
        <v>65.0</v>
      </c>
      <c r="H20" s="5">
        <v>98.0</v>
      </c>
      <c r="I20" s="5">
        <v>390.0</v>
      </c>
      <c r="J20" s="5">
        <v>78.0</v>
      </c>
      <c r="K20" s="3" t="s">
        <v>40</v>
      </c>
      <c r="L20" s="4" t="str">
        <f t="shared" si="1"/>
        <v>PASS</v>
      </c>
      <c r="M20" s="3" t="str">
        <f t="shared" si="2"/>
        <v>Distinction</v>
      </c>
      <c r="N20" s="3" t="s">
        <v>18</v>
      </c>
    </row>
    <row r="21">
      <c r="A21" s="3" t="s">
        <v>59</v>
      </c>
      <c r="B21" s="3" t="s">
        <v>60</v>
      </c>
      <c r="C21" s="3" t="s">
        <v>33</v>
      </c>
      <c r="D21" s="5">
        <v>59.0</v>
      </c>
      <c r="E21" s="5">
        <v>97.0</v>
      </c>
      <c r="F21" s="5">
        <v>47.0</v>
      </c>
      <c r="G21" s="5">
        <v>96.0</v>
      </c>
      <c r="H21" s="5">
        <v>65.0</v>
      </c>
      <c r="I21" s="5">
        <v>364.0</v>
      </c>
      <c r="J21" s="5">
        <v>72.8</v>
      </c>
      <c r="K21" s="3" t="s">
        <v>40</v>
      </c>
      <c r="L21" s="4" t="str">
        <f t="shared" si="1"/>
        <v>PASS</v>
      </c>
      <c r="M21" s="3" t="str">
        <f t="shared" si="2"/>
        <v>Pass</v>
      </c>
      <c r="N21" s="3" t="s">
        <v>18</v>
      </c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7">
      <c r="C27" s="8"/>
      <c r="D27" s="9"/>
    </row>
    <row r="28">
      <c r="C28" s="8"/>
      <c r="D28" s="9"/>
    </row>
    <row r="29">
      <c r="C29" s="8"/>
      <c r="D29" s="9"/>
    </row>
    <row r="30">
      <c r="C30" s="8"/>
      <c r="D30" s="9"/>
    </row>
    <row r="31">
      <c r="B31" s="10" t="s">
        <v>61</v>
      </c>
      <c r="C31" s="8"/>
      <c r="D31" s="9"/>
    </row>
    <row r="32">
      <c r="C32" s="8"/>
      <c r="D32" s="9"/>
    </row>
    <row r="33">
      <c r="B33" s="11" t="s">
        <v>62</v>
      </c>
      <c r="C33" s="1" t="s">
        <v>63</v>
      </c>
      <c r="D33" s="9"/>
    </row>
    <row r="34">
      <c r="B34" s="12" t="s">
        <v>64</v>
      </c>
      <c r="C34" s="13">
        <f>COUNTIF(D2:D21,"&gt;70")</f>
        <v>10</v>
      </c>
      <c r="D34" s="9"/>
    </row>
    <row r="35">
      <c r="B35" s="12" t="s">
        <v>65</v>
      </c>
      <c r="C35" s="13">
        <f>countif(M2:M21,"At Risk")</f>
        <v>0</v>
      </c>
      <c r="D35" s="9"/>
    </row>
    <row r="36">
      <c r="C36" s="8"/>
      <c r="D36" s="9"/>
    </row>
    <row r="37">
      <c r="C37" s="8"/>
      <c r="D37" s="9"/>
    </row>
    <row r="38">
      <c r="C38" s="8"/>
      <c r="D38" s="9"/>
    </row>
    <row r="39">
      <c r="C39" s="8"/>
      <c r="D39" s="9"/>
    </row>
    <row r="40">
      <c r="C40" s="8"/>
      <c r="D40" s="9"/>
    </row>
    <row r="41">
      <c r="C41" s="8"/>
      <c r="D41" s="9"/>
    </row>
    <row r="42">
      <c r="C42" s="8"/>
      <c r="D42" s="9"/>
    </row>
    <row r="43">
      <c r="C43" s="8"/>
      <c r="D43" s="9"/>
    </row>
    <row r="44">
      <c r="C44" s="8"/>
      <c r="D44" s="9"/>
    </row>
    <row r="45">
      <c r="C45" s="8"/>
      <c r="D45" s="9"/>
    </row>
    <row r="46">
      <c r="C46" s="8"/>
      <c r="D46" s="9"/>
    </row>
    <row r="47">
      <c r="C47" s="14"/>
      <c r="D47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5" t="s">
        <v>66</v>
      </c>
    </row>
    <row r="3">
      <c r="C3" s="1" t="s">
        <v>0</v>
      </c>
      <c r="D3" s="2" t="s">
        <v>10</v>
      </c>
    </row>
    <row r="4">
      <c r="C4" s="3" t="s">
        <v>14</v>
      </c>
      <c r="D4" s="16" t="str">
        <f>VLOOKUP(C4,Sheet1!$A:$K,11,false)</f>
        <v>B</v>
      </c>
    </row>
    <row r="5">
      <c r="C5" s="3" t="s">
        <v>19</v>
      </c>
      <c r="D5" s="16" t="str">
        <f>VLOOKUP(C5,Sheet1!$A:$K,11,false)</f>
        <v>B</v>
      </c>
    </row>
    <row r="6">
      <c r="C6" s="3" t="s">
        <v>22</v>
      </c>
      <c r="D6" s="16" t="str">
        <f>VLOOKUP(C6,Sheet1!$A:$K,11,false)</f>
        <v>B</v>
      </c>
    </row>
    <row r="7">
      <c r="C7" s="3" t="s">
        <v>24</v>
      </c>
      <c r="D7" s="16" t="str">
        <f>VLOOKUP(C7,Sheet1!$A:$K,11,false)</f>
        <v>B</v>
      </c>
    </row>
    <row r="8">
      <c r="C8" s="3" t="s">
        <v>26</v>
      </c>
      <c r="D8" s="16" t="str">
        <f>VLOOKUP(C8,Sheet1!$A:$K,11,false)</f>
        <v>A</v>
      </c>
    </row>
    <row r="9">
      <c r="C9" s="3" t="s">
        <v>29</v>
      </c>
      <c r="D9" s="16" t="str">
        <f>VLOOKUP(C9,Sheet1!$A:$K,11,false)</f>
        <v>B</v>
      </c>
    </row>
    <row r="10">
      <c r="C10" s="3" t="s">
        <v>31</v>
      </c>
      <c r="D10" s="16" t="str">
        <f>VLOOKUP(C10,Sheet1!$A:$K,11,false)</f>
        <v>A</v>
      </c>
    </row>
    <row r="11">
      <c r="C11" s="3" t="s">
        <v>34</v>
      </c>
      <c r="D11" s="16" t="str">
        <f>VLOOKUP(C11,Sheet1!$A:$K,11,false)</f>
        <v>B</v>
      </c>
    </row>
    <row r="12">
      <c r="C12" s="3" t="s">
        <v>36</v>
      </c>
      <c r="D12" s="16" t="str">
        <f>VLOOKUP(C12,Sheet1!$A:$K,11,false)</f>
        <v>B</v>
      </c>
    </row>
    <row r="13">
      <c r="C13" s="3" t="s">
        <v>38</v>
      </c>
      <c r="D13" s="16" t="str">
        <f>VLOOKUP(C13,Sheet1!$A:$K,11,false)</f>
        <v>B+</v>
      </c>
    </row>
    <row r="14">
      <c r="C14" s="3" t="s">
        <v>41</v>
      </c>
      <c r="D14" s="16" t="str">
        <f>VLOOKUP(C14,Sheet1!$A:$K,11,false)</f>
        <v>B</v>
      </c>
    </row>
    <row r="15">
      <c r="C15" s="3" t="s">
        <v>43</v>
      </c>
      <c r="D15" s="16" t="str">
        <f>VLOOKUP(C15,Sheet1!$A:$K,11,false)</f>
        <v>B+</v>
      </c>
    </row>
    <row r="16">
      <c r="C16" s="3" t="s">
        <v>45</v>
      </c>
      <c r="D16" s="16" t="str">
        <f>VLOOKUP(C16,Sheet1!$A:$K,11,false)</f>
        <v>B+</v>
      </c>
    </row>
    <row r="17">
      <c r="C17" s="3" t="s">
        <v>47</v>
      </c>
      <c r="D17" s="16" t="str">
        <f>VLOOKUP(C17,Sheet1!$A:$K,11,false)</f>
        <v>B</v>
      </c>
    </row>
    <row r="18">
      <c r="C18" s="3" t="s">
        <v>49</v>
      </c>
      <c r="D18" s="16" t="str">
        <f>VLOOKUP(C18,Sheet1!$A:$K,11,false)</f>
        <v>B+</v>
      </c>
    </row>
    <row r="19">
      <c r="C19" s="3" t="s">
        <v>51</v>
      </c>
      <c r="D19" s="16" t="str">
        <f>VLOOKUP(C19,Sheet1!$A:$K,11,false)</f>
        <v>A</v>
      </c>
    </row>
    <row r="20">
      <c r="C20" s="3" t="s">
        <v>53</v>
      </c>
      <c r="D20" s="16" t="str">
        <f>VLOOKUP(C20,Sheet1!$A:$K,11,false)</f>
        <v>B+</v>
      </c>
    </row>
    <row r="21">
      <c r="C21" s="3" t="s">
        <v>55</v>
      </c>
      <c r="D21" s="16" t="str">
        <f>VLOOKUP(C21,Sheet1!$A:$K,11,false)</f>
        <v>B</v>
      </c>
    </row>
    <row r="22">
      <c r="C22" s="3" t="s">
        <v>57</v>
      </c>
      <c r="D22" s="16" t="str">
        <f>VLOOKUP(C22,Sheet1!$A:$K,11,false)</f>
        <v>B+</v>
      </c>
    </row>
    <row r="23">
      <c r="C23" s="3" t="s">
        <v>59</v>
      </c>
      <c r="D23" s="16" t="str">
        <f>VLOOKUP(C23,Sheet1!$A:$K,11,false)</f>
        <v>B+</v>
      </c>
    </row>
  </sheetData>
  <drawing r:id="rId1"/>
</worksheet>
</file>